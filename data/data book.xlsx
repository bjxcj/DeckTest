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20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<sst xmlns="http://schemas.openxmlformats.org/spreadsheetml/2006/main" count="11">
  <si>
    <t>Sales per year</t>
  </si>
  <si>
    <t>Unit: K US$</t>
  </si>
  <si>
    <t>FY12</t>
  </si>
  <si>
    <t>FY13</t>
  </si>
  <si>
    <t>FY14</t>
  </si>
  <si>
    <t>Order</t>
  </si>
  <si>
    <t>Rev</t>
  </si>
  <si>
    <t>Cost</t>
  </si>
  <si>
    <t>GM</t>
  </si>
  <si>
    <t>Profit</t>
  </si>
  <si>
    <t>Profit%</t>
  </si>
</sst>
</file>

<file path=xl/styles.xml><?xml version="1.0" encoding="utf-8"?>
<styleSheet xmlns="http://schemas.openxmlformats.org/spreadsheetml/2006/main">
  <numFmts count="6">
    <numFmt numFmtId="176" formatCode="0.00_ "/>
    <numFmt numFmtId="177" formatCode="_ * #,##0_ ;_ * \-#,##0_ ;_ * &quot;-&quot;_ ;_ @_ "/>
    <numFmt numFmtId="42" formatCode="_(&quot;$&quot;* #,##0_);_(&quot;$&quot;* \(#,##0\);_(&quot;$&quot;* &quot;-&quot;_);_(@_)"/>
    <numFmt numFmtId="178" formatCode="_ * #,##0.00_ ;_ * \-#,##0.00_ ;_ * &quot;-&quot;??_ ;_ @_ "/>
    <numFmt numFmtId="44" formatCode="_(&quot;$&quot;* #,##0.00_);_(&quot;$&quot;* \(#,##0.00\);_(&quot;$&quot;* &quot;-&quot;??_);_(@_)"/>
    <numFmt numFmtId="179" formatCode="0.0%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8" fillId="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0" fillId="21" borderId="8" applyNumberFormat="0" applyFon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7" borderId="4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9" fontId="0" fillId="0" borderId="1" xfId="47" applyNumberFormat="1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9"/>
  <sheetViews>
    <sheetView tabSelected="1" workbookViewId="0">
      <selection activeCell="C14" sqref="C14"/>
    </sheetView>
  </sheetViews>
  <sheetFormatPr defaultColWidth="9" defaultRowHeight="14" outlineLevelCol="3"/>
  <cols>
    <col min="2" max="2" width="11.625"/>
    <col min="3" max="4" width="12.6875"/>
  </cols>
  <sheetData>
    <row r="1" spans="1:1">
      <c r="A1" t="s">
        <v>0</v>
      </c>
    </row>
    <row r="2" spans="1:1">
      <c r="A2" t="s">
        <v>1</v>
      </c>
    </row>
    <row r="3" spans="1:4">
      <c r="A3" s="1"/>
      <c r="B3" s="1" t="s">
        <v>2</v>
      </c>
      <c r="C3" s="1" t="s">
        <v>3</v>
      </c>
      <c r="D3" s="1" t="s">
        <v>4</v>
      </c>
    </row>
    <row r="4" spans="1:4">
      <c r="A4" s="1" t="s">
        <v>5</v>
      </c>
      <c r="B4" s="2">
        <v>2389</v>
      </c>
      <c r="C4" s="2">
        <v>3879</v>
      </c>
      <c r="D4" s="2">
        <v>4970</v>
      </c>
    </row>
    <row r="5" spans="1:4">
      <c r="A5" s="1" t="s">
        <v>6</v>
      </c>
      <c r="B5" s="2">
        <v>2041</v>
      </c>
      <c r="C5" s="2">
        <v>3013</v>
      </c>
      <c r="D5" s="2">
        <v>4317</v>
      </c>
    </row>
    <row r="6" spans="1:4">
      <c r="A6" s="1" t="s">
        <v>7</v>
      </c>
      <c r="B6" s="2">
        <v>608</v>
      </c>
      <c r="C6" s="2">
        <v>796</v>
      </c>
      <c r="D6" s="2">
        <v>989</v>
      </c>
    </row>
    <row r="7" spans="1:4">
      <c r="A7" s="1" t="s">
        <v>8</v>
      </c>
      <c r="B7" s="2">
        <f>B5-B6</f>
        <v>1433</v>
      </c>
      <c r="C7" s="2">
        <f>C5-C6</f>
        <v>2217</v>
      </c>
      <c r="D7" s="2">
        <f>D5-D6</f>
        <v>3328</v>
      </c>
    </row>
    <row r="8" spans="1:4">
      <c r="A8" s="1" t="s">
        <v>9</v>
      </c>
      <c r="B8" s="2">
        <f>B7-B5*55%</f>
        <v>310.45</v>
      </c>
      <c r="C8" s="2">
        <f>C7-C5*55%</f>
        <v>559.85</v>
      </c>
      <c r="D8" s="2">
        <f>D7-D5*55%</f>
        <v>953.65</v>
      </c>
    </row>
    <row r="9" spans="1:4">
      <c r="A9" s="1" t="s">
        <v>10</v>
      </c>
      <c r="B9" s="3">
        <f>B8/B5</f>
        <v>0.152106810387065</v>
      </c>
      <c r="C9" s="3">
        <f>C8/C5</f>
        <v>0.185811483571191</v>
      </c>
      <c r="D9" s="3">
        <f>D8/D5</f>
        <v>0.220905721565902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PnC</dc:creator>
  <dcterms:created xsi:type="dcterms:W3CDTF">2026-06-11T01:56:50Z</dcterms:created>
  <dcterms:modified xsi:type="dcterms:W3CDTF">2026-06-11T02:01:39Z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1033-1.1.0.1454</vt:lpwstr>
  </property>
</Properties>
</file>